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imentación" sheetId="1" state="visible" r:id="rId3"/>
    <sheet name="Insumos Básicos" sheetId="2" state="visible" r:id="rId4"/>
    <sheet name="Insumos Intermedios" sheetId="3" state="visible" r:id="rId5"/>
    <sheet name="Resum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<sst xmlns="http://schemas.openxmlformats.org/spreadsheetml/2006/main" count="146" uniqueCount="106">
  <si>
    <t xml:space="preserve">Base de gastos de alimentación</t>
  </si>
  <si>
    <t xml:space="preserve">Costo estimado por residente, por tiempo de comida — precios referenciales CLP 2026, ajustables a proveedores reales.</t>
  </si>
  <si>
    <t xml:space="preserve">Ítem</t>
  </si>
  <si>
    <t xml:space="preserve">Cantidad</t>
  </si>
  <si>
    <t xml:space="preserve">Unidad</t>
  </si>
  <si>
    <t xml:space="preserve">Precio unitario</t>
  </si>
  <si>
    <t xml:space="preserve">Costo diario</t>
  </si>
  <si>
    <t xml:space="preserve">DESAYUNO</t>
  </si>
  <si>
    <t xml:space="preserve">Pan</t>
  </si>
  <si>
    <t xml:space="preserve">unidad</t>
  </si>
  <si>
    <t xml:space="preserve">Margarina o mantequilla</t>
  </si>
  <si>
    <t xml:space="preserve">porción</t>
  </si>
  <si>
    <t xml:space="preserve">Mermelada o queso</t>
  </si>
  <si>
    <t xml:space="preserve">Té o café con azúcar</t>
  </si>
  <si>
    <t xml:space="preserve">taza</t>
  </si>
  <si>
    <t xml:space="preserve">Leche descremada (200 ml)</t>
  </si>
  <si>
    <t xml:space="preserve">Fruta o compota</t>
  </si>
  <si>
    <t xml:space="preserve">Subtotal Desayuno</t>
  </si>
  <si>
    <t xml:space="preserve">ALMUERZO</t>
  </si>
  <si>
    <t xml:space="preserve">Proteína (carne, pollo, pescado o legumbre, 120 g)</t>
  </si>
  <si>
    <t xml:space="preserve">Guarnición (arroz, papas, fideos o puré)</t>
  </si>
  <si>
    <t xml:space="preserve">Ensalada o verdura cocida</t>
  </si>
  <si>
    <t xml:space="preserve">Postre (fruta o postre liviano)</t>
  </si>
  <si>
    <t xml:space="preserve">Jugo o agua saborizada</t>
  </si>
  <si>
    <t xml:space="preserve">vaso</t>
  </si>
  <si>
    <t xml:space="preserve">Subtotal Almuerzo</t>
  </si>
  <si>
    <t xml:space="preserve">ONCE</t>
  </si>
  <si>
    <t xml:space="preserve">Té o café</t>
  </si>
  <si>
    <t xml:space="preserve">Queso, palta o jamón</t>
  </si>
  <si>
    <t xml:space="preserve">Leche descremada</t>
  </si>
  <si>
    <t xml:space="preserve">Subtotal Once</t>
  </si>
  <si>
    <t xml:space="preserve">CENA</t>
  </si>
  <si>
    <t xml:space="preserve">Sopa o plato liviano</t>
  </si>
  <si>
    <t xml:space="preserve">Infusión</t>
  </si>
  <si>
    <t xml:space="preserve">Postre o fruta</t>
  </si>
  <si>
    <t xml:space="preserve">Subtotal Cena</t>
  </si>
  <si>
    <t xml:space="preserve">COLACIÓN INTERMEDIA (opcional — diabéticos / bajo peso)</t>
  </si>
  <si>
    <t xml:space="preserve">Fruta o yogurt</t>
  </si>
  <si>
    <t xml:space="preserve">Subtotal Colación Intermedia</t>
  </si>
  <si>
    <t xml:space="preserve">Total diario por residente (con colación)</t>
  </si>
  <si>
    <t xml:space="preserve">Total diario por residente (sin colación)</t>
  </si>
  <si>
    <t xml:space="preserve">Días por mes considerados</t>
  </si>
  <si>
    <t xml:space="preserve">Total mensual por residente (con colación)</t>
  </si>
  <si>
    <t xml:space="preserve">N° de residentes de la residencia</t>
  </si>
  <si>
    <t xml:space="preserve">Total mensual de alimentación para la residencia</t>
  </si>
  <si>
    <t xml:space="preserve">Nota: precios referenciales de supermercado/distribuidor para Chile, 2026. Edita cantidades y precios (celdas azules) con tus proveedores reales; el resto se recalcula solo.</t>
  </si>
  <si>
    <t xml:space="preserve">Insumos básicos</t>
  </si>
  <si>
    <t xml:space="preserve">Higiene y aseo personal — aplica a todos los residentes, independiente de su nivel de dependencia.</t>
  </si>
  <si>
    <t xml:space="preserve">Costo mensual</t>
  </si>
  <si>
    <t xml:space="preserve">Papel higiénico</t>
  </si>
  <si>
    <t xml:space="preserve">rollo</t>
  </si>
  <si>
    <t xml:space="preserve">Jabón de baño</t>
  </si>
  <si>
    <t xml:space="preserve">Shampoo (prorrateado)</t>
  </si>
  <si>
    <t xml:space="preserve">prorrateo</t>
  </si>
  <si>
    <t xml:space="preserve">Pasta dental (prorrateada)</t>
  </si>
  <si>
    <t xml:space="preserve">Cepillo dental (prorrateado, reposición trimestral)</t>
  </si>
  <si>
    <t xml:space="preserve">Toallitas húmedas</t>
  </si>
  <si>
    <t xml:space="preserve">paquete</t>
  </si>
  <si>
    <t xml:space="preserve">Alcohol gel (prorrateado)</t>
  </si>
  <si>
    <t xml:space="preserve">Bolsas de basura (prorrateadas)</t>
  </si>
  <si>
    <t xml:space="preserve">Detergente para ropa (prorrateado)</t>
  </si>
  <si>
    <t xml:space="preserve">Total mensual por residente (insumos básicos)</t>
  </si>
  <si>
    <t xml:space="preserve">Nota: precios referenciales de supermercado/distribuidor para Chile, 2026. Edita cantidades y precios (celdas azules) con tus proveedores reales.</t>
  </si>
  <si>
    <t xml:space="preserve">Insumos intermedios</t>
  </si>
  <si>
    <t xml:space="preserve">Adicionales a los básicos — solo para residentes con dependencia moderada o severa (pañales, curaciones básicas, prevención de escaras).</t>
  </si>
  <si>
    <t xml:space="preserve">Pañales de adulto (4 al día × 30 días)</t>
  </si>
  <si>
    <t xml:space="preserve">Toallitas húmedas para cambio</t>
  </si>
  <si>
    <t xml:space="preserve">Empapadores / salvacamas desechables</t>
  </si>
  <si>
    <t xml:space="preserve">Guantes de nitrilo (uso del personal, prorrateado)</t>
  </si>
  <si>
    <t xml:space="preserve">par</t>
  </si>
  <si>
    <t xml:space="preserve">Crema para prevención de escaras</t>
  </si>
  <si>
    <t xml:space="preserve">pote</t>
  </si>
  <si>
    <t xml:space="preserve">Gasas y tela adhesiva (curaciones básicas)</t>
  </si>
  <si>
    <t xml:space="preserve">Alcohol / agua oxigenada (prorrateado)</t>
  </si>
  <si>
    <t xml:space="preserve">Total mensual adicional por residente con dependencia</t>
  </si>
  <si>
    <t xml:space="preserve">Nota: el pañal es el mayor costo de esta categoría; ajusta la cantidad diaria según el nivel real de dependencia de cada residente. Precios referenciales 2026, edítalos con tus proveedores reales.</t>
  </si>
  <si>
    <t xml:space="preserve">Resumen de costo variable por residente</t>
  </si>
  <si>
    <t xml:space="preserve">Consolida alimentación + insumos, y lo compara con el supuesto usado en el simulador financiero ELEAM.</t>
  </si>
  <si>
    <t xml:space="preserve">Concepto</t>
  </si>
  <si>
    <t xml:space="preserve">Monto mensual</t>
  </si>
  <si>
    <t xml:space="preserve">Nota</t>
  </si>
  <si>
    <t xml:space="preserve">Alimentación por residente/mes</t>
  </si>
  <si>
    <t xml:space="preserve">Hoja Alimentación, con colación incluida</t>
  </si>
  <si>
    <t xml:space="preserve">Insumos básicos por residente/mes</t>
  </si>
  <si>
    <t xml:space="preserve">Hoja Insumos Básicos, todos los residentes</t>
  </si>
  <si>
    <t xml:space="preserve">Insumos intermedios por residente/mes (solo dependientes)</t>
  </si>
  <si>
    <t xml:space="preserve">Hoja Insumos Intermedios, adicional</t>
  </si>
  <si>
    <t xml:space="preserve">% de residentes con dependencia moderada o severa</t>
  </si>
  <si>
    <t xml:space="preserve">Edítalo con la mezcla real de tus residentes</t>
  </si>
  <si>
    <t xml:space="preserve">Costo variable — residente autovalente/mes</t>
  </si>
  <si>
    <t xml:space="preserve">Alimentación + insumos básicos</t>
  </si>
  <si>
    <t xml:space="preserve">Costo variable — residente con dependencia/mes</t>
  </si>
  <si>
    <t xml:space="preserve">Alimentación + insumos básicos + intermedios</t>
  </si>
  <si>
    <t xml:space="preserve">Costo variable promedio ponderado por residente/mes</t>
  </si>
  <si>
    <t xml:space="preserve">Pondera autovalentes vs. dependientes según el % de arriba</t>
  </si>
  <si>
    <t xml:space="preserve">Supuesto actual del simulador (costo variable por residente)</t>
  </si>
  <si>
    <t xml:space="preserve">Valor por defecto en el simulador ELEAM; actualízalo si lo cambiaste ahí</t>
  </si>
  <si>
    <t xml:space="preserve">Diferencia vs. el simulador</t>
  </si>
  <si>
    <t xml:space="preserve">Positivo = el simulador está subestimando el costo variable</t>
  </si>
  <si>
    <t xml:space="preserve">N° de residentes actual</t>
  </si>
  <si>
    <t xml:space="preserve">Capacidad máxima</t>
  </si>
  <si>
    <t xml:space="preserve">Costo variable total mensual — ocupación actual</t>
  </si>
  <si>
    <t xml:space="preserve">Costo variable promedio × residentes actuales</t>
  </si>
  <si>
    <t xml:space="preserve">Costo variable total mensual — capacidad máxima</t>
  </si>
  <si>
    <t xml:space="preserve">Costo variable promedio × capacidad máxima</t>
  </si>
  <si>
    <t xml:space="preserve">Usa "Costo variable promedio ponderado" como el nuevo valor de "Costo variable por residente" en el simulador financiero ELEAM para que ambos archivos queden alineados.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</si>
</sst>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\ 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D3A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5F5B"/>
        <bgColor rgb="FF1F3D3A"/>
      </patternFill>
    </fill>
    <fill>
      <patternFill patternType="solid">
        <fgColor rgb="FF3E7C77"/>
        <bgColor rgb="FF1F5F5B"/>
      </patternFill>
    </fill>
    <fill>
      <patternFill patternType="solid">
        <fgColor rgb="FFE1EDEC"/>
        <bgColor rgb="FFD9E9E6"/>
      </patternFill>
    </fill>
    <fill>
      <patternFill patternType="solid">
        <fgColor rgb="FFD9E9E6"/>
        <bgColor rgb="FFE1EDEC"/>
      </patternFill>
    </fill>
    <fill>
      <patternFill patternType="solid">
        <fgColor rgb="FFFFFDE7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F5B"/>
      <rgbColor rgb="FFBFBFBF"/>
      <rgbColor rgb="FF808080"/>
      <rgbColor rgb="FF9999FF"/>
      <rgbColor rgb="FF993366"/>
      <rgbColor rgb="FFFFFDE7"/>
      <rgbColor rgb="FFE1ED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9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E7C77"/>
      <rgbColor rgb="FF003300"/>
      <rgbColor rgb="FF333300"/>
      <rgbColor rgb="FF993300"/>
      <rgbColor rgb="FF993366"/>
      <rgbColor rgb="FF333399"/>
      <rgbColor rgb="FF1F3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5" min="4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/>
      <c r="C5" s="4"/>
      <c r="D5" s="4"/>
      <c r="E5" s="4"/>
    </row>
    <row r="6" customFormat="false" ht="15" hidden="false" customHeight="false" outlineLevel="0" collapsed="false">
      <c r="A6" s="5" t="s">
        <v>8</v>
      </c>
      <c r="B6" s="6" t="n">
        <v>2</v>
      </c>
      <c r="C6" s="5" t="s">
        <v>9</v>
      </c>
      <c r="D6" s="7" t="n">
        <v>100</v>
      </c>
      <c r="E6" s="8" t="n">
        <f aca="false">B6*D6</f>
        <v>200</v>
      </c>
    </row>
    <row r="7" customFormat="false" ht="15" hidden="false" customHeight="false" outlineLevel="0" collapsed="false">
      <c r="A7" s="5" t="s">
        <v>10</v>
      </c>
      <c r="B7" s="6" t="n">
        <v>1</v>
      </c>
      <c r="C7" s="5" t="s">
        <v>11</v>
      </c>
      <c r="D7" s="7" t="n">
        <v>15</v>
      </c>
      <c r="E7" s="8" t="n">
        <f aca="false">B7*D7</f>
        <v>15</v>
      </c>
    </row>
    <row r="8" customFormat="false" ht="15" hidden="false" customHeight="false" outlineLevel="0" collapsed="false">
      <c r="A8" s="5" t="s">
        <v>12</v>
      </c>
      <c r="B8" s="6" t="n">
        <v>1</v>
      </c>
      <c r="C8" s="5" t="s">
        <v>11</v>
      </c>
      <c r="D8" s="7" t="n">
        <v>150</v>
      </c>
      <c r="E8" s="8" t="n">
        <f aca="false">B8*D8</f>
        <v>150</v>
      </c>
    </row>
    <row r="9" customFormat="false" ht="15" hidden="false" customHeight="false" outlineLevel="0" collapsed="false">
      <c r="A9" s="5" t="s">
        <v>13</v>
      </c>
      <c r="B9" s="6" t="n">
        <v>1</v>
      </c>
      <c r="C9" s="5" t="s">
        <v>14</v>
      </c>
      <c r="D9" s="7" t="n">
        <v>40</v>
      </c>
      <c r="E9" s="8" t="n">
        <f aca="false">B9*D9</f>
        <v>40</v>
      </c>
    </row>
    <row r="10" customFormat="false" ht="15" hidden="false" customHeight="false" outlineLevel="0" collapsed="false">
      <c r="A10" s="5" t="s">
        <v>15</v>
      </c>
      <c r="B10" s="6" t="n">
        <v>1</v>
      </c>
      <c r="C10" s="5" t="s">
        <v>11</v>
      </c>
      <c r="D10" s="7" t="n">
        <v>150</v>
      </c>
      <c r="E10" s="8" t="n">
        <f aca="false">B10*D10</f>
        <v>150</v>
      </c>
    </row>
    <row r="11" customFormat="false" ht="15" hidden="false" customHeight="false" outlineLevel="0" collapsed="false">
      <c r="A11" s="5" t="s">
        <v>16</v>
      </c>
      <c r="B11" s="6" t="n">
        <v>1</v>
      </c>
      <c r="C11" s="5" t="s">
        <v>9</v>
      </c>
      <c r="D11" s="7" t="n">
        <v>200</v>
      </c>
      <c r="E11" s="8" t="n">
        <f aca="false">B11*D11</f>
        <v>200</v>
      </c>
    </row>
    <row r="12" customFormat="false" ht="15" hidden="false" customHeight="false" outlineLevel="0" collapsed="false">
      <c r="A12" s="9" t="s">
        <v>17</v>
      </c>
      <c r="B12" s="9"/>
      <c r="C12" s="9"/>
      <c r="D12" s="9"/>
      <c r="E12" s="10" t="n">
        <f aca="false">SUM(E6:E11)</f>
        <v>755</v>
      </c>
    </row>
    <row r="13" customFormat="false" ht="15" hidden="false" customHeight="false" outlineLevel="0" collapsed="false">
      <c r="A13" s="4" t="s">
        <v>18</v>
      </c>
      <c r="B13" s="4"/>
      <c r="C13" s="4"/>
      <c r="D13" s="4"/>
      <c r="E13" s="4"/>
    </row>
    <row r="14" customFormat="false" ht="15" hidden="false" customHeight="false" outlineLevel="0" collapsed="false">
      <c r="A14" s="5" t="s">
        <v>19</v>
      </c>
      <c r="B14" s="6" t="n">
        <v>1</v>
      </c>
      <c r="C14" s="5" t="s">
        <v>11</v>
      </c>
      <c r="D14" s="7" t="n">
        <v>900</v>
      </c>
      <c r="E14" s="8" t="n">
        <f aca="false">B14*D14</f>
        <v>900</v>
      </c>
    </row>
    <row r="15" customFormat="false" ht="15" hidden="false" customHeight="false" outlineLevel="0" collapsed="false">
      <c r="A15" s="5" t="s">
        <v>20</v>
      </c>
      <c r="B15" s="6" t="n">
        <v>1</v>
      </c>
      <c r="C15" s="5" t="s">
        <v>11</v>
      </c>
      <c r="D15" s="7" t="n">
        <v>200</v>
      </c>
      <c r="E15" s="8" t="n">
        <f aca="false">B15*D15</f>
        <v>200</v>
      </c>
    </row>
    <row r="16" customFormat="false" ht="15" hidden="false" customHeight="false" outlineLevel="0" collapsed="false">
      <c r="A16" s="5" t="s">
        <v>21</v>
      </c>
      <c r="B16" s="6" t="n">
        <v>1</v>
      </c>
      <c r="C16" s="5" t="s">
        <v>11</v>
      </c>
      <c r="D16" s="7" t="n">
        <v>250</v>
      </c>
      <c r="E16" s="8" t="n">
        <f aca="false">B16*D16</f>
        <v>250</v>
      </c>
    </row>
    <row r="17" customFormat="false" ht="15" hidden="false" customHeight="false" outlineLevel="0" collapsed="false">
      <c r="A17" s="5" t="s">
        <v>8</v>
      </c>
      <c r="B17" s="6" t="n">
        <v>1</v>
      </c>
      <c r="C17" s="5" t="s">
        <v>9</v>
      </c>
      <c r="D17" s="7" t="n">
        <v>100</v>
      </c>
      <c r="E17" s="8" t="n">
        <f aca="false">B17*D17</f>
        <v>100</v>
      </c>
    </row>
    <row r="18" customFormat="false" ht="15" hidden="false" customHeight="false" outlineLevel="0" collapsed="false">
      <c r="A18" s="5" t="s">
        <v>22</v>
      </c>
      <c r="B18" s="6" t="n">
        <v>1</v>
      </c>
      <c r="C18" s="5" t="s">
        <v>11</v>
      </c>
      <c r="D18" s="7" t="n">
        <v>200</v>
      </c>
      <c r="E18" s="8" t="n">
        <f aca="false">B18*D18</f>
        <v>200</v>
      </c>
    </row>
    <row r="19" customFormat="false" ht="15" hidden="false" customHeight="false" outlineLevel="0" collapsed="false">
      <c r="A19" s="5" t="s">
        <v>23</v>
      </c>
      <c r="B19" s="6" t="n">
        <v>1</v>
      </c>
      <c r="C19" s="5" t="s">
        <v>24</v>
      </c>
      <c r="D19" s="7" t="n">
        <v>80</v>
      </c>
      <c r="E19" s="8" t="n">
        <f aca="false">B19*D19</f>
        <v>80</v>
      </c>
    </row>
    <row r="20" customFormat="false" ht="15" hidden="false" customHeight="false" outlineLevel="0" collapsed="false">
      <c r="A20" s="9" t="s">
        <v>25</v>
      </c>
      <c r="B20" s="9"/>
      <c r="C20" s="9"/>
      <c r="D20" s="9"/>
      <c r="E20" s="10" t="n">
        <f aca="false">SUM(E14:E19)</f>
        <v>1730</v>
      </c>
    </row>
    <row r="21" customFormat="false" ht="15" hidden="false" customHeight="false" outlineLevel="0" collapsed="false">
      <c r="A21" s="4" t="s">
        <v>26</v>
      </c>
      <c r="B21" s="4"/>
      <c r="C21" s="4"/>
      <c r="D21" s="4"/>
      <c r="E21" s="4"/>
    </row>
    <row r="22" customFormat="false" ht="15" hidden="false" customHeight="false" outlineLevel="0" collapsed="false">
      <c r="A22" s="5" t="s">
        <v>8</v>
      </c>
      <c r="B22" s="6" t="n">
        <v>2</v>
      </c>
      <c r="C22" s="5" t="s">
        <v>9</v>
      </c>
      <c r="D22" s="7" t="n">
        <v>100</v>
      </c>
      <c r="E22" s="8" t="n">
        <f aca="false">B22*D22</f>
        <v>200</v>
      </c>
    </row>
    <row r="23" customFormat="false" ht="15" hidden="false" customHeight="false" outlineLevel="0" collapsed="false">
      <c r="A23" s="5" t="s">
        <v>27</v>
      </c>
      <c r="B23" s="6" t="n">
        <v>1</v>
      </c>
      <c r="C23" s="5" t="s">
        <v>14</v>
      </c>
      <c r="D23" s="7" t="n">
        <v>40</v>
      </c>
      <c r="E23" s="8" t="n">
        <f aca="false">B23*D23</f>
        <v>40</v>
      </c>
    </row>
    <row r="24" customFormat="false" ht="15" hidden="false" customHeight="false" outlineLevel="0" collapsed="false">
      <c r="A24" s="5" t="s">
        <v>28</v>
      </c>
      <c r="B24" s="6" t="n">
        <v>1</v>
      </c>
      <c r="C24" s="5" t="s">
        <v>11</v>
      </c>
      <c r="D24" s="7" t="n">
        <v>200</v>
      </c>
      <c r="E24" s="8" t="n">
        <f aca="false">B24*D24</f>
        <v>200</v>
      </c>
    </row>
    <row r="25" customFormat="false" ht="15" hidden="false" customHeight="false" outlineLevel="0" collapsed="false">
      <c r="A25" s="5" t="s">
        <v>29</v>
      </c>
      <c r="B25" s="6" t="n">
        <v>1</v>
      </c>
      <c r="C25" s="5" t="s">
        <v>11</v>
      </c>
      <c r="D25" s="7" t="n">
        <v>150</v>
      </c>
      <c r="E25" s="8" t="n">
        <f aca="false">B25*D25</f>
        <v>150</v>
      </c>
    </row>
    <row r="26" customFormat="false" ht="15" hidden="false" customHeight="false" outlineLevel="0" collapsed="false">
      <c r="A26" s="9" t="s">
        <v>30</v>
      </c>
      <c r="B26" s="9"/>
      <c r="C26" s="9"/>
      <c r="D26" s="9"/>
      <c r="E26" s="10" t="n">
        <f aca="false">SUM(E22:E25)</f>
        <v>590</v>
      </c>
    </row>
    <row r="27" customFormat="false" ht="15" hidden="false" customHeight="false" outlineLevel="0" collapsed="false">
      <c r="A27" s="4" t="s">
        <v>31</v>
      </c>
      <c r="B27" s="4"/>
      <c r="C27" s="4"/>
      <c r="D27" s="4"/>
      <c r="E27" s="4"/>
    </row>
    <row r="28" customFormat="false" ht="15" hidden="false" customHeight="false" outlineLevel="0" collapsed="false">
      <c r="A28" s="5" t="s">
        <v>32</v>
      </c>
      <c r="B28" s="6" t="n">
        <v>1</v>
      </c>
      <c r="C28" s="5" t="s">
        <v>11</v>
      </c>
      <c r="D28" s="7" t="n">
        <v>500</v>
      </c>
      <c r="E28" s="8" t="n">
        <f aca="false">B28*D28</f>
        <v>500</v>
      </c>
    </row>
    <row r="29" customFormat="false" ht="15" hidden="false" customHeight="false" outlineLevel="0" collapsed="false">
      <c r="A29" s="5" t="s">
        <v>8</v>
      </c>
      <c r="B29" s="6" t="n">
        <v>1</v>
      </c>
      <c r="C29" s="5" t="s">
        <v>9</v>
      </c>
      <c r="D29" s="7" t="n">
        <v>100</v>
      </c>
      <c r="E29" s="8" t="n">
        <f aca="false">B29*D29</f>
        <v>100</v>
      </c>
    </row>
    <row r="30" customFormat="false" ht="15" hidden="false" customHeight="false" outlineLevel="0" collapsed="false">
      <c r="A30" s="5" t="s">
        <v>33</v>
      </c>
      <c r="B30" s="6" t="n">
        <v>1</v>
      </c>
      <c r="C30" s="5" t="s">
        <v>14</v>
      </c>
      <c r="D30" s="7" t="n">
        <v>40</v>
      </c>
      <c r="E30" s="8" t="n">
        <f aca="false">B30*D30</f>
        <v>40</v>
      </c>
    </row>
    <row r="31" customFormat="false" ht="15" hidden="false" customHeight="false" outlineLevel="0" collapsed="false">
      <c r="A31" s="5" t="s">
        <v>34</v>
      </c>
      <c r="B31" s="6" t="n">
        <v>1</v>
      </c>
      <c r="C31" s="5" t="s">
        <v>11</v>
      </c>
      <c r="D31" s="7" t="n">
        <v>150</v>
      </c>
      <c r="E31" s="8" t="n">
        <f aca="false">B31*D31</f>
        <v>150</v>
      </c>
    </row>
    <row r="32" customFormat="false" ht="15" hidden="false" customHeight="false" outlineLevel="0" collapsed="false">
      <c r="A32" s="9" t="s">
        <v>35</v>
      </c>
      <c r="B32" s="9"/>
      <c r="C32" s="9"/>
      <c r="D32" s="9"/>
      <c r="E32" s="10" t="n">
        <f aca="false">SUM(E28:E31)</f>
        <v>790</v>
      </c>
    </row>
    <row r="33" customFormat="false" ht="15" hidden="false" customHeight="false" outlineLevel="0" collapsed="false">
      <c r="A33" s="4" t="s">
        <v>36</v>
      </c>
      <c r="B33" s="4"/>
      <c r="C33" s="4"/>
      <c r="D33" s="4"/>
      <c r="E33" s="4"/>
    </row>
    <row r="34" customFormat="false" ht="15" hidden="false" customHeight="false" outlineLevel="0" collapsed="false">
      <c r="A34" s="5" t="s">
        <v>37</v>
      </c>
      <c r="B34" s="6" t="n">
        <v>1</v>
      </c>
      <c r="C34" s="5" t="s">
        <v>11</v>
      </c>
      <c r="D34" s="7" t="n">
        <v>250</v>
      </c>
      <c r="E34" s="8" t="n">
        <f aca="false">B34*D34</f>
        <v>250</v>
      </c>
    </row>
    <row r="35" customFormat="false" ht="15" hidden="false" customHeight="false" outlineLevel="0" collapsed="false">
      <c r="A35" s="9" t="s">
        <v>38</v>
      </c>
      <c r="B35" s="9"/>
      <c r="C35" s="9"/>
      <c r="D35" s="9"/>
      <c r="E35" s="10" t="n">
        <f aca="false">SUM(E34)</f>
        <v>250</v>
      </c>
    </row>
    <row r="37" customFormat="false" ht="15" hidden="false" customHeight="false" outlineLevel="0" collapsed="false">
      <c r="A37" s="11" t="s">
        <v>39</v>
      </c>
      <c r="B37" s="11"/>
      <c r="C37" s="11"/>
      <c r="D37" s="11"/>
      <c r="E37" s="12" t="n">
        <f aca="false">E12+E20+E26+E32+E35</f>
        <v>4115</v>
      </c>
    </row>
    <row r="38" customFormat="false" ht="15" hidden="false" customHeight="false" outlineLevel="0" collapsed="false">
      <c r="A38" s="5" t="s">
        <v>40</v>
      </c>
      <c r="B38" s="5"/>
      <c r="C38" s="5"/>
      <c r="D38" s="5"/>
      <c r="E38" s="8" t="n">
        <f aca="false">E37-E35</f>
        <v>3865</v>
      </c>
    </row>
    <row r="40" customFormat="false" ht="15" hidden="false" customHeight="false" outlineLevel="0" collapsed="false">
      <c r="A40" s="13" t="s">
        <v>41</v>
      </c>
      <c r="B40" s="14" t="n">
        <v>30</v>
      </c>
    </row>
    <row r="41" customFormat="false" ht="15" hidden="false" customHeight="false" outlineLevel="0" collapsed="false">
      <c r="A41" s="11" t="s">
        <v>42</v>
      </c>
      <c r="B41" s="11"/>
      <c r="C41" s="11"/>
      <c r="D41" s="11"/>
      <c r="E41" s="12" t="n">
        <f aca="false">E37*B40</f>
        <v>123450</v>
      </c>
    </row>
    <row r="43" customFormat="false" ht="15" hidden="false" customHeight="false" outlineLevel="0" collapsed="false">
      <c r="A43" s="13" t="s">
        <v>43</v>
      </c>
      <c r="B43" s="14" t="n">
        <v>11</v>
      </c>
    </row>
    <row r="44" customFormat="false" ht="15" hidden="false" customHeight="false" outlineLevel="0" collapsed="false">
      <c r="A44" s="11" t="s">
        <v>44</v>
      </c>
      <c r="B44" s="11"/>
      <c r="C44" s="11"/>
      <c r="D44" s="11"/>
      <c r="E44" s="12" t="n">
        <f aca="false">E41*B43</f>
        <v>1357950</v>
      </c>
    </row>
    <row r="46" customFormat="false" ht="27.75" hidden="false" customHeight="true" outlineLevel="0" collapsed="false">
      <c r="A46" s="2" t="s">
        <v>45</v>
      </c>
      <c r="B46" s="2"/>
      <c r="C46" s="2"/>
      <c r="D46" s="2"/>
      <c r="E46" s="2"/>
    </row>
  </sheetData>
  <mergeCells count="17">
    <mergeCell ref="A1:E1"/>
    <mergeCell ref="A2:E2"/>
    <mergeCell ref="A5:E5"/>
    <mergeCell ref="A12:D12"/>
    <mergeCell ref="A13:E13"/>
    <mergeCell ref="A20:D20"/>
    <mergeCell ref="A21:E21"/>
    <mergeCell ref="A26:D26"/>
    <mergeCell ref="A27:E27"/>
    <mergeCell ref="A32:D32"/>
    <mergeCell ref="A33:E33"/>
    <mergeCell ref="A35:D35"/>
    <mergeCell ref="A37:D37"/>
    <mergeCell ref="A38:D38"/>
    <mergeCell ref="A41:D41"/>
    <mergeCell ref="A44:D44"/>
    <mergeCell ref="A46:E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5" min="3" style="0" width="16"/>
  </cols>
  <sheetData>
    <row r="1" customFormat="false" ht="21.75" hidden="false" customHeight="true" outlineLevel="0" collapsed="false">
      <c r="A1" s="1" t="s">
        <v>46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47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48</v>
      </c>
    </row>
    <row r="5" customFormat="false" ht="15" hidden="false" customHeight="false" outlineLevel="0" collapsed="false">
      <c r="A5" s="5" t="s">
        <v>49</v>
      </c>
      <c r="B5" s="6" t="n">
        <v>4</v>
      </c>
      <c r="C5" s="5" t="s">
        <v>50</v>
      </c>
      <c r="D5" s="7" t="n">
        <v>400</v>
      </c>
      <c r="E5" s="8" t="n">
        <f aca="false">B5*D5</f>
        <v>1600</v>
      </c>
    </row>
    <row r="6" customFormat="false" ht="15" hidden="false" customHeight="false" outlineLevel="0" collapsed="false">
      <c r="A6" s="5" t="s">
        <v>51</v>
      </c>
      <c r="B6" s="6" t="n">
        <v>1</v>
      </c>
      <c r="C6" s="5" t="s">
        <v>9</v>
      </c>
      <c r="D6" s="7" t="n">
        <v>800</v>
      </c>
      <c r="E6" s="8" t="n">
        <f aca="false">B6*D6</f>
        <v>800</v>
      </c>
    </row>
    <row r="7" customFormat="false" ht="15" hidden="false" customHeight="false" outlineLevel="0" collapsed="false">
      <c r="A7" s="5" t="s">
        <v>52</v>
      </c>
      <c r="B7" s="6" t="n">
        <v>1</v>
      </c>
      <c r="C7" s="5" t="s">
        <v>53</v>
      </c>
      <c r="D7" s="7" t="n">
        <v>500</v>
      </c>
      <c r="E7" s="8" t="n">
        <f aca="false">B7*D7</f>
        <v>500</v>
      </c>
    </row>
    <row r="8" customFormat="false" ht="15" hidden="false" customHeight="false" outlineLevel="0" collapsed="false">
      <c r="A8" s="5" t="s">
        <v>54</v>
      </c>
      <c r="B8" s="6" t="n">
        <v>1</v>
      </c>
      <c r="C8" s="5" t="s">
        <v>53</v>
      </c>
      <c r="D8" s="7" t="n">
        <v>400</v>
      </c>
      <c r="E8" s="8" t="n">
        <f aca="false">B8*D8</f>
        <v>400</v>
      </c>
    </row>
    <row r="9" customFormat="false" ht="15" hidden="false" customHeight="false" outlineLevel="0" collapsed="false">
      <c r="A9" s="5" t="s">
        <v>55</v>
      </c>
      <c r="B9" s="6" t="n">
        <v>1</v>
      </c>
      <c r="C9" s="5" t="s">
        <v>53</v>
      </c>
      <c r="D9" s="7" t="n">
        <v>300</v>
      </c>
      <c r="E9" s="8" t="n">
        <f aca="false">B9*D9</f>
        <v>300</v>
      </c>
    </row>
    <row r="10" customFormat="false" ht="15" hidden="false" customHeight="false" outlineLevel="0" collapsed="false">
      <c r="A10" s="5" t="s">
        <v>56</v>
      </c>
      <c r="B10" s="6" t="n">
        <v>1</v>
      </c>
      <c r="C10" s="5" t="s">
        <v>57</v>
      </c>
      <c r="D10" s="7" t="n">
        <v>1500</v>
      </c>
      <c r="E10" s="8" t="n">
        <f aca="false">B10*D10</f>
        <v>1500</v>
      </c>
    </row>
    <row r="11" customFormat="false" ht="15" hidden="false" customHeight="false" outlineLevel="0" collapsed="false">
      <c r="A11" s="5" t="s">
        <v>58</v>
      </c>
      <c r="B11" s="6" t="n">
        <v>1</v>
      </c>
      <c r="C11" s="5" t="s">
        <v>53</v>
      </c>
      <c r="D11" s="7" t="n">
        <v>300</v>
      </c>
      <c r="E11" s="8" t="n">
        <f aca="false">B11*D11</f>
        <v>300</v>
      </c>
    </row>
    <row r="12" customFormat="false" ht="15" hidden="false" customHeight="false" outlineLevel="0" collapsed="false">
      <c r="A12" s="5" t="s">
        <v>59</v>
      </c>
      <c r="B12" s="6" t="n">
        <v>1</v>
      </c>
      <c r="C12" s="5" t="s">
        <v>53</v>
      </c>
      <c r="D12" s="7" t="n">
        <v>300</v>
      </c>
      <c r="E12" s="8" t="n">
        <f aca="false">B12*D12</f>
        <v>300</v>
      </c>
    </row>
    <row r="13" customFormat="false" ht="15" hidden="false" customHeight="false" outlineLevel="0" collapsed="false">
      <c r="A13" s="5" t="s">
        <v>60</v>
      </c>
      <c r="B13" s="6" t="n">
        <v>1</v>
      </c>
      <c r="C13" s="5" t="s">
        <v>53</v>
      </c>
      <c r="D13" s="7" t="n">
        <v>600</v>
      </c>
      <c r="E13" s="8" t="n">
        <f aca="false">B13*D13</f>
        <v>600</v>
      </c>
    </row>
    <row r="15" customFormat="false" ht="15" hidden="false" customHeight="false" outlineLevel="0" collapsed="false">
      <c r="A15" s="11" t="s">
        <v>61</v>
      </c>
      <c r="B15" s="11"/>
      <c r="C15" s="11"/>
      <c r="D15" s="11"/>
      <c r="E15" s="12" t="n">
        <f aca="false">SUM(E5:E13)</f>
        <v>6300</v>
      </c>
    </row>
    <row r="17" customFormat="false" ht="27.75" hidden="false" customHeight="true" outlineLevel="0" collapsed="false">
      <c r="A17" s="2" t="s">
        <v>62</v>
      </c>
      <c r="B17" s="2"/>
      <c r="C17" s="2"/>
      <c r="D17" s="2"/>
      <c r="E17" s="2"/>
    </row>
  </sheetData>
  <mergeCells count="4">
    <mergeCell ref="A1:E1"/>
    <mergeCell ref="A2:E2"/>
    <mergeCell ref="A15:D15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5" min="3" style="0" width="16"/>
  </cols>
  <sheetData>
    <row r="1" customFormat="false" ht="21.75" hidden="false" customHeight="true" outlineLevel="0" collapsed="false">
      <c r="A1" s="1" t="s">
        <v>63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64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48</v>
      </c>
    </row>
    <row r="5" customFormat="false" ht="15" hidden="false" customHeight="false" outlineLevel="0" collapsed="false">
      <c r="A5" s="5" t="s">
        <v>65</v>
      </c>
      <c r="B5" s="6" t="n">
        <v>120</v>
      </c>
      <c r="C5" s="5" t="s">
        <v>9</v>
      </c>
      <c r="D5" s="7" t="n">
        <v>350</v>
      </c>
      <c r="E5" s="8" t="n">
        <f aca="false">B5*D5</f>
        <v>42000</v>
      </c>
    </row>
    <row r="6" customFormat="false" ht="15" hidden="false" customHeight="false" outlineLevel="0" collapsed="false">
      <c r="A6" s="5" t="s">
        <v>66</v>
      </c>
      <c r="B6" s="6" t="n">
        <v>2</v>
      </c>
      <c r="C6" s="5" t="s">
        <v>57</v>
      </c>
      <c r="D6" s="7" t="n">
        <v>1500</v>
      </c>
      <c r="E6" s="8" t="n">
        <f aca="false">B6*D6</f>
        <v>3000</v>
      </c>
    </row>
    <row r="7" customFormat="false" ht="15" hidden="false" customHeight="false" outlineLevel="0" collapsed="false">
      <c r="A7" s="5" t="s">
        <v>67</v>
      </c>
      <c r="B7" s="6" t="n">
        <v>30</v>
      </c>
      <c r="C7" s="5" t="s">
        <v>9</v>
      </c>
      <c r="D7" s="7" t="n">
        <v>250</v>
      </c>
      <c r="E7" s="8" t="n">
        <f aca="false">B7*D7</f>
        <v>7500</v>
      </c>
    </row>
    <row r="8" customFormat="false" ht="15" hidden="false" customHeight="false" outlineLevel="0" collapsed="false">
      <c r="A8" s="5" t="s">
        <v>68</v>
      </c>
      <c r="B8" s="6" t="n">
        <v>60</v>
      </c>
      <c r="C8" s="5" t="s">
        <v>69</v>
      </c>
      <c r="D8" s="7" t="n">
        <v>80</v>
      </c>
      <c r="E8" s="8" t="n">
        <f aca="false">B8*D8</f>
        <v>4800</v>
      </c>
    </row>
    <row r="9" customFormat="false" ht="15" hidden="false" customHeight="false" outlineLevel="0" collapsed="false">
      <c r="A9" s="5" t="s">
        <v>70</v>
      </c>
      <c r="B9" s="6" t="n">
        <v>1</v>
      </c>
      <c r="C9" s="5" t="s">
        <v>71</v>
      </c>
      <c r="D9" s="7" t="n">
        <v>3500</v>
      </c>
      <c r="E9" s="8" t="n">
        <f aca="false">B9*D9</f>
        <v>3500</v>
      </c>
    </row>
    <row r="10" customFormat="false" ht="15" hidden="false" customHeight="false" outlineLevel="0" collapsed="false">
      <c r="A10" s="5" t="s">
        <v>72</v>
      </c>
      <c r="B10" s="6" t="n">
        <v>1</v>
      </c>
      <c r="C10" s="5" t="s">
        <v>53</v>
      </c>
      <c r="D10" s="7" t="n">
        <v>1500</v>
      </c>
      <c r="E10" s="8" t="n">
        <f aca="false">B10*D10</f>
        <v>1500</v>
      </c>
    </row>
    <row r="11" customFormat="false" ht="15" hidden="false" customHeight="false" outlineLevel="0" collapsed="false">
      <c r="A11" s="5" t="s">
        <v>73</v>
      </c>
      <c r="B11" s="6" t="n">
        <v>1</v>
      </c>
      <c r="C11" s="5" t="s">
        <v>53</v>
      </c>
      <c r="D11" s="7" t="n">
        <v>500</v>
      </c>
      <c r="E11" s="8" t="n">
        <f aca="false">B11*D11</f>
        <v>500</v>
      </c>
    </row>
    <row r="13" customFormat="false" ht="15" hidden="false" customHeight="false" outlineLevel="0" collapsed="false">
      <c r="A13" s="11" t="s">
        <v>74</v>
      </c>
      <c r="B13" s="11"/>
      <c r="C13" s="11"/>
      <c r="D13" s="11"/>
      <c r="E13" s="12" t="n">
        <f aca="false">SUM(E5:E11)</f>
        <v>62800</v>
      </c>
    </row>
    <row r="15" customFormat="false" ht="27.75" hidden="false" customHeight="true" outlineLevel="0" collapsed="false">
      <c r="A15" s="2" t="s">
        <v>75</v>
      </c>
      <c r="B15" s="2"/>
      <c r="C15" s="2"/>
      <c r="D15" s="2"/>
      <c r="E15" s="2"/>
    </row>
  </sheetData>
  <mergeCells count="4">
    <mergeCell ref="A1:E1"/>
    <mergeCell ref="A2:E2"/>
    <mergeCell ref="A13:D13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46"/>
  </cols>
  <sheetData>
    <row r="1" customFormat="false" ht="21.75" hidden="false" customHeight="true" outlineLevel="0" collapsed="false">
      <c r="A1" s="1" t="s">
        <v>76</v>
      </c>
      <c r="B1" s="1"/>
      <c r="C1" s="1"/>
    </row>
    <row r="2" customFormat="false" ht="15.75" hidden="false" customHeight="true" outlineLevel="0" collapsed="false">
      <c r="A2" s="2" t="s">
        <v>77</v>
      </c>
      <c r="B2" s="2"/>
      <c r="C2" s="2"/>
    </row>
    <row r="4" customFormat="false" ht="15" hidden="false" customHeight="false" outlineLevel="0" collapsed="false">
      <c r="A4" s="3" t="s">
        <v>78</v>
      </c>
      <c r="B4" s="3" t="s">
        <v>79</v>
      </c>
      <c r="C4" s="3" t="s">
        <v>80</v>
      </c>
    </row>
    <row r="5" customFormat="false" ht="15" hidden="false" customHeight="false" outlineLevel="0" collapsed="false">
      <c r="A5" s="5" t="s">
        <v>81</v>
      </c>
      <c r="B5" s="15" t="n">
        <f aca="false">Alimentación!E41</f>
        <v>123450</v>
      </c>
      <c r="C5" s="16" t="s">
        <v>82</v>
      </c>
    </row>
    <row r="6" customFormat="false" ht="15" hidden="false" customHeight="false" outlineLevel="0" collapsed="false">
      <c r="A6" s="5" t="s">
        <v>83</v>
      </c>
      <c r="B6" s="15" t="n">
        <f aca="false">'Insumos Básicos'!E15</f>
        <v>6300</v>
      </c>
      <c r="C6" s="16" t="s">
        <v>84</v>
      </c>
    </row>
    <row r="7" customFormat="false" ht="15" hidden="false" customHeight="false" outlineLevel="0" collapsed="false">
      <c r="A7" s="5" t="s">
        <v>85</v>
      </c>
      <c r="B7" s="15" t="n">
        <f aca="false">'Insumos Intermedios'!E13</f>
        <v>62800</v>
      </c>
      <c r="C7" s="16" t="s">
        <v>86</v>
      </c>
    </row>
    <row r="9" customFormat="false" ht="15" hidden="false" customHeight="false" outlineLevel="0" collapsed="false">
      <c r="A9" s="5" t="s">
        <v>87</v>
      </c>
      <c r="B9" s="17" t="n">
        <v>0.4</v>
      </c>
      <c r="C9" s="16" t="s">
        <v>88</v>
      </c>
    </row>
    <row r="11" customFormat="false" ht="15" hidden="false" customHeight="false" outlineLevel="0" collapsed="false">
      <c r="A11" s="5" t="s">
        <v>89</v>
      </c>
      <c r="B11" s="15" t="n">
        <f aca="false">B5+B6</f>
        <v>129750</v>
      </c>
      <c r="C11" s="16" t="s">
        <v>90</v>
      </c>
    </row>
    <row r="12" customFormat="false" ht="15" hidden="false" customHeight="false" outlineLevel="0" collapsed="false">
      <c r="A12" s="5" t="s">
        <v>91</v>
      </c>
      <c r="B12" s="15" t="n">
        <f aca="false">B5+B6+B7</f>
        <v>192550</v>
      </c>
      <c r="C12" s="16" t="s">
        <v>92</v>
      </c>
    </row>
    <row r="13" customFormat="false" ht="15" hidden="false" customHeight="false" outlineLevel="0" collapsed="false">
      <c r="A13" s="11" t="s">
        <v>93</v>
      </c>
      <c r="B13" s="18" t="n">
        <f aca="false">B11*(1-B9)+B12*B9</f>
        <v>154870</v>
      </c>
      <c r="C13" s="19" t="s">
        <v>94</v>
      </c>
    </row>
    <row r="15" customFormat="false" ht="15" hidden="false" customHeight="false" outlineLevel="0" collapsed="false">
      <c r="A15" s="5" t="s">
        <v>95</v>
      </c>
      <c r="B15" s="7" t="n">
        <v>150000</v>
      </c>
      <c r="C15" s="16" t="s">
        <v>96</v>
      </c>
    </row>
    <row r="16" customFormat="false" ht="15" hidden="false" customHeight="false" outlineLevel="0" collapsed="false">
      <c r="A16" s="20" t="s">
        <v>97</v>
      </c>
      <c r="B16" s="21" t="n">
        <f aca="false">B13-B15</f>
        <v>4870</v>
      </c>
      <c r="C16" s="16" t="s">
        <v>98</v>
      </c>
    </row>
    <row r="18" customFormat="false" ht="15" hidden="false" customHeight="false" outlineLevel="0" collapsed="false">
      <c r="A18" s="13" t="s">
        <v>99</v>
      </c>
      <c r="B18" s="14" t="n">
        <v>11</v>
      </c>
    </row>
    <row r="19" customFormat="false" ht="15" hidden="false" customHeight="false" outlineLevel="0" collapsed="false">
      <c r="A19" s="13" t="s">
        <v>100</v>
      </c>
      <c r="B19" s="14" t="n">
        <v>40</v>
      </c>
    </row>
    <row r="21" customFormat="false" ht="15" hidden="false" customHeight="false" outlineLevel="0" collapsed="false">
      <c r="A21" s="20" t="s">
        <v>101</v>
      </c>
      <c r="B21" s="21" t="n">
        <f aca="false">B13*B18</f>
        <v>1703570</v>
      </c>
      <c r="C21" s="16" t="s">
        <v>102</v>
      </c>
    </row>
    <row r="22" customFormat="false" ht="15" hidden="false" customHeight="false" outlineLevel="0" collapsed="false">
      <c r="A22" s="20" t="s">
        <v>103</v>
      </c>
      <c r="B22" s="21" t="n">
        <f aca="false">B13*B19</f>
        <v>6194800</v>
      </c>
      <c r="C22" s="16" t="s">
        <v>104</v>
      </c>
    </row>
    <row r="24" customFormat="false" ht="27.75" hidden="false" customHeight="true" outlineLevel="0" collapsed="false">
      <c r="A24" s="2" t="s">
        <v>105</v>
      </c>
      <c r="B24" s="2"/>
      <c r="C24" s="2"/>
    </row>
  </sheetData>
  <mergeCells count="3">
    <mergeCell ref="A1:C1"/>
    <mergeCell ref="A2:C2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2026-08-07T01:43:05Z</dcterms:created>
  <dc:creator>openpyxl</dc:creator>
  <dc:description/>
  <dc:language>es-US</dc:language>
  <cp:lastModifiedBy/>
  <dcterms:modified xsi:type="dcterms:W3CDTF">2026-08-07T01:43:05Z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